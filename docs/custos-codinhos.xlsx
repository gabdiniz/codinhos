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Custo por aluno" sheetId="2" state="visible" r:id="rId4"/>
    <sheet name="Custo por turma" sheetId="3" state="visible" r:id="rId5"/>
    <sheet name="Custo por escola" sheetId="4" state="visible" r:id="rId6"/>
    <sheet name="Projeção de cust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<sst xmlns="http://schemas.openxmlformats.org/spreadsheetml/2006/main" count="112" uniqueCount="103">
  <si>
    <t xml:space="preserve">Codinhos — Modelo de custo (revisado jul/2026)</t>
  </si>
  <si>
    <t xml:space="preserve">Edite as células AZUIS (inputs). Verde = puxado de outra aba. Amarelo = premissa-chave a revisar.</t>
  </si>
  <si>
    <t xml:space="preserve">Parâmetro</t>
  </si>
  <si>
    <t xml:space="preserve">Valor</t>
  </si>
  <si>
    <t xml:space="preserve">Unid.</t>
  </si>
  <si>
    <t xml:space="preserve">Câmbio (R$ por US$)</t>
  </si>
  <si>
    <t xml:space="preserve">R$/US$</t>
  </si>
  <si>
    <t xml:space="preserve">Cotação ~jul/2026 (investing.com). Ajuste p/ o dia.</t>
  </si>
  <si>
    <t xml:space="preserve">— IA / Tutor —</t>
  </si>
  <si>
    <t xml:space="preserve">Custo do tutor por mensagem (US$)</t>
  </si>
  <si>
    <t xml:space="preserve">US$/msg</t>
  </si>
  <si>
    <t xml:space="preserve">Haiku 4.5 ($1/$5 por M tok). ~3k tok entrada + ~350 saída c/ contexto do desafio + 10 msgs de histórico.</t>
  </si>
  <si>
    <t xml:space="preserve">Teto de mensagens do tutor por aluno/dia</t>
  </si>
  <si>
    <t xml:space="preserve">msg/dia</t>
  </si>
  <si>
    <t xml:space="preserve">Cap atual no código (DEFAULT_DAILY_LIMIT).</t>
  </si>
  <si>
    <t xml:space="preserve">Dias letivos por mês</t>
  </si>
  <si>
    <t xml:space="preserve">dias</t>
  </si>
  <si>
    <t xml:space="preserve">Usado só para o teto realista (não fim de semana).</t>
  </si>
  <si>
    <t xml:space="preserve">— IA / Geração de desafios (autoria) —</t>
  </si>
  <si>
    <t xml:space="preserve">Custo por desafio gerado (US$)</t>
  </si>
  <si>
    <t xml:space="preserve">US$/desafio</t>
  </si>
  <si>
    <t xml:space="preserve">Sonnet 5 ($2/$10 por M, promo até 31/ago). ~1,4 chamadas (gera+retry). Padrão pós-promo ~US$0,04.</t>
  </si>
  <si>
    <t xml:space="preserve">— Infra / Base da plataforma (mês) —</t>
  </si>
  <si>
    <t xml:space="preserve">VPS (compute + Postgres + backup na mesma máquina)</t>
  </si>
  <si>
    <t xml:space="preserve">R$/mês</t>
  </si>
  <si>
    <t xml:space="preserve">Plano de prod informado. Hoje R$30. Sobe conforme nº de escolas.</t>
  </si>
  <si>
    <t xml:space="preserve">Domínio</t>
  </si>
  <si>
    <t xml:space="preserve">~R$48/ano.</t>
  </si>
  <si>
    <t xml:space="preserve">Backup offsite (recomendado)</t>
  </si>
  <si>
    <t xml:space="preserve">Backblaze B2 / storage box. Backup só na mesma VPS = risco de perda total.</t>
  </si>
  <si>
    <t xml:space="preserve">Codi (assistente da LP / marketing)</t>
  </si>
  <si>
    <t xml:space="preserve">Haiku, varia com tráfego do site. Custo de base, não por escola. Use rate limit.</t>
  </si>
  <si>
    <t xml:space="preserve">E-mail transacional (Resend)</t>
  </si>
  <si>
    <t xml:space="preserve">Grátis até ~3k envios/mês. Acima: ~US$20 (~R$102).</t>
  </si>
  <si>
    <t xml:space="preserve">DERIVADOS (calculados)</t>
  </si>
  <si>
    <t xml:space="preserve">→ Custo do tutor por mensagem (R$)</t>
  </si>
  <si>
    <t xml:space="preserve">→ Custo por desafio gerado (R$)</t>
  </si>
  <si>
    <t xml:space="preserve">→ Custo BASE da plataforma / mês (R$)</t>
  </si>
  <si>
    <t xml:space="preserve">→ Teto de custo do tutor por aluno / mês (R$) [20 msg × 22 dias]</t>
  </si>
  <si>
    <t xml:space="preserve">Notas &amp; fontes</t>
  </si>
  <si>
    <t xml:space="preserve">• O MOTOR de código (JS e Python/Pyodide) roda NO NAVEGADOR do aluno. Execução de código NÃO gera custo de nuvem — logo, a evolução do motor não aumentou o custo por aluno.</t>
  </si>
  <si>
    <t xml:space="preserve">• Único custo variável real por aluno = mensagens do tutor de IA (Haiku 4.5).</t>
  </si>
  <si>
    <t xml:space="preserve">• Geração de desafios com IA (Sonnet 5) é custo de AUTORIA (gestor/professor), pontual — não recorre por aluno.</t>
  </si>
  <si>
    <t xml:space="preserve">• Multi-tenant row-level: uma escola/turma a mais é (quase) só linhas no banco → custo marginal de infra ~0.</t>
  </si>
  <si>
    <t xml:space="preserve">• Prompt caching pode cortar até 90% da entrada do tutor — reduz o custo por mensagem se ativado.</t>
  </si>
  <si>
    <t xml:space="preserve">• Benchmark de preço (não custo): Tynker for Schools ~US$25/aluno/ano (~R$11/aluno/mês).</t>
  </si>
  <si>
    <t xml:space="preserve">Custo por aluno / mês — só o tutor de IA (motor roda no navegador, custo 0)</t>
  </si>
  <si>
    <t xml:space="preserve">Custo do tutor por mensagem:</t>
  </si>
  <si>
    <t xml:space="preserve">Cenários de uso mensal por aluno (azul = editável):</t>
  </si>
  <si>
    <t xml:space="preserve">Cenário</t>
  </si>
  <si>
    <t xml:space="preserve">Mensagens/mês</t>
  </si>
  <si>
    <t xml:space="preserve">Custo tutor / mês</t>
  </si>
  <si>
    <t xml:space="preserve">Custo tutor / ano</t>
  </si>
  <si>
    <t xml:space="preserve">Leve (~15 msg)</t>
  </si>
  <si>
    <t xml:space="preserve">~1 msg/dia letivo</t>
  </si>
  <si>
    <t xml:space="preserve">Típico (~30 msg)</t>
  </si>
  <si>
    <t xml:space="preserve">Engajado (~60 msg)</t>
  </si>
  <si>
    <t xml:space="preserve">5 msg/dia letivo</t>
  </si>
  <si>
    <t xml:space="preserve">TETO realista (20/dia × 22 letivos)</t>
  </si>
  <si>
    <t xml:space="preserve">TETO absoluto (20/dia × 30)</t>
  </si>
  <si>
    <t xml:space="preserve">• O aluno só custa quando conversa com o tutor. Executar código (JS/Python) é grátis para você.</t>
  </si>
  <si>
    <t xml:space="preserve">• O teto de 20/dia limita o pior caso; na prática a média fica muito abaixo.</t>
  </si>
  <si>
    <t xml:space="preserve">• Sem custo de armazenamento relevante: submissões e progresso são poucos KB por aluno.</t>
  </si>
  <si>
    <t xml:space="preserve">Custo por turma / mês</t>
  </si>
  <si>
    <t xml:space="preserve">Uma turma é apenas um agrupamento no banco → custo marginal de infra ≈ 0.</t>
  </si>
  <si>
    <t xml:space="preserve">Custo da turma = (alunos ativos no tutor) × (custo por aluno no uso escolhido).</t>
  </si>
  <si>
    <t xml:space="preserve">Mensagens/aluno/mês assumidas (editável):</t>
  </si>
  <si>
    <t xml:space="preserve">Custo tutor por mensagem:</t>
  </si>
  <si>
    <t xml:space="preserve">Tamanho da turma</t>
  </si>
  <si>
    <t xml:space="preserve">Alunos</t>
  </si>
  <si>
    <t xml:space="preserve">Custo IA / mês</t>
  </si>
  <si>
    <t xml:space="preserve">Custo IA / ano</t>
  </si>
  <si>
    <t xml:space="preserve">Turma pequena</t>
  </si>
  <si>
    <t xml:space="preserve">Turma média</t>
  </si>
  <si>
    <t xml:space="preserve">Turma cheia</t>
  </si>
  <si>
    <t xml:space="preserve">Turma grande</t>
  </si>
  <si>
    <t xml:space="preserve">• Trocar as premissas na aba Premissas ou o uso mensal acima recalcula tudo.</t>
  </si>
  <si>
    <t xml:space="preserve">Custo por escola (tenant) / mês</t>
  </si>
  <si>
    <t xml:space="preserve">Infra marginal por escola ≈ R$0 (multi-tenant compartilha VPS/Postgres). O custo é o uso do tutor pelos alunos + autoria pontual.</t>
  </si>
  <si>
    <t xml:space="preserve">Mensagens/aluno/mês (editável):</t>
  </si>
  <si>
    <t xml:space="preserve">Perfil de escola</t>
  </si>
  <si>
    <t xml:space="preserve">Custo de autoria (uma vez)</t>
  </si>
  <si>
    <t xml:space="preserve">Pequena</t>
  </si>
  <si>
    <t xml:space="preserve">Média</t>
  </si>
  <si>
    <t xml:space="preserve">Grande</t>
  </si>
  <si>
    <t xml:space="preserve">Rede</t>
  </si>
  <si>
    <t xml:space="preserve">• 'Custo de autoria' = gerar 40 desafios sob medida com IA, uma única vez (Sonnet 5). Depois fica no banco, custo 0.</t>
  </si>
  <si>
    <t xml:space="preserve">• E-mails de convite/reset entram no plano grátis do Resend (até ~3k/mês).</t>
  </si>
  <si>
    <t xml:space="preserve">• Compare com o piso de faturamento por escola: o custo real de uma escola é uma fração da mensalidade.</t>
  </si>
  <si>
    <t xml:space="preserve">Custo total da plataforma por nº de escolas</t>
  </si>
  <si>
    <t xml:space="preserve">Mostra a base fixa se diluindo à medida que entram escolas.</t>
  </si>
  <si>
    <t xml:space="preserve">Alunos por escola (médio):</t>
  </si>
  <si>
    <t xml:space="preserve">Mensagens/aluno/mês:</t>
  </si>
  <si>
    <t xml:space="preserve">Custo tutor por mensagem (R$):</t>
  </si>
  <si>
    <t xml:space="preserve">Custo BASE da plataforma / mês (R$):</t>
  </si>
  <si>
    <t xml:space="preserve">Nº escolas</t>
  </si>
  <si>
    <t xml:space="preserve">Alunos totais</t>
  </si>
  <si>
    <t xml:space="preserve">Custo base / mês</t>
  </si>
  <si>
    <t xml:space="preserve">Custo TOTAL / mês</t>
  </si>
  <si>
    <t xml:space="preserve">Custo / aluno / mês</t>
  </si>
  <si>
    <t xml:space="preserve">• A base é fixa: com 1 escola ela pesa; com 20+ escolas some no custo por aluno.</t>
  </si>
  <si>
    <t xml:space="preserve">• Conforme o nº de escolas cresce, a VPS de R$50 precisará subir (Postgres + API + SSR). Reveja a base na aba Premissas.</t>
  </si>
  <si>
    <t xml:space="preserve">• Custo/aluno tende ao custo do tutor (uso × preço/msg) quando a base está diluída.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</si>
</sst>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\$#,##0.0000"/>
    <numFmt numFmtId="167" formatCode="0"/>
    <numFmt numFmtId="168" formatCode="#,##0"/>
    <numFmt numFmtId="169" formatCode="&quot;R$ 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B57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EEEE"/>
        <bgColor rgb="FFFDE9E9"/>
      </patternFill>
    </fill>
    <fill>
      <patternFill patternType="solid">
        <fgColor rgb="FFFFF2CC"/>
        <bgColor rgb="FFFDE9E9"/>
      </patternFill>
    </fill>
    <fill>
      <patternFill patternType="solid">
        <fgColor rgb="FF1F3B57"/>
        <bgColor rgb="FF003366"/>
      </patternFill>
    </fill>
    <fill>
      <patternFill patternType="solid">
        <fgColor rgb="FFFDE9E9"/>
        <bgColor rgb="FFEEEEEE"/>
      </patternFill>
    </fill>
    <fill>
      <patternFill patternType="solid">
        <fgColor rgb="FFF5F8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5F8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5.1</v>
      </c>
      <c r="C5" s="2" t="s">
        <v>6</v>
      </c>
      <c r="E5" s="2" t="s">
        <v>7</v>
      </c>
    </row>
    <row r="6" customFormat="false" ht="15" hidden="false" customHeight="false" outlineLevel="0" collapsed="false">
      <c r="A6" s="6" t="s">
        <v>8</v>
      </c>
    </row>
    <row r="7" customFormat="false" ht="15" hidden="false" customHeight="false" outlineLevel="0" collapsed="false">
      <c r="A7" s="4" t="s">
        <v>9</v>
      </c>
      <c r="B7" s="7" t="n">
        <v>0.005</v>
      </c>
      <c r="C7" s="2" t="s">
        <v>10</v>
      </c>
      <c r="E7" s="2" t="s">
        <v>11</v>
      </c>
    </row>
    <row r="8" customFormat="false" ht="15" hidden="false" customHeight="false" outlineLevel="0" collapsed="false">
      <c r="A8" s="4" t="s">
        <v>12</v>
      </c>
      <c r="B8" s="8" t="n">
        <v>20</v>
      </c>
      <c r="C8" s="2" t="s">
        <v>13</v>
      </c>
      <c r="E8" s="2" t="s">
        <v>14</v>
      </c>
    </row>
    <row r="9" customFormat="false" ht="15" hidden="false" customHeight="false" outlineLevel="0" collapsed="false">
      <c r="A9" s="4" t="s">
        <v>15</v>
      </c>
      <c r="B9" s="8" t="n">
        <v>22</v>
      </c>
      <c r="C9" s="2" t="s">
        <v>16</v>
      </c>
      <c r="E9" s="2" t="s">
        <v>17</v>
      </c>
    </row>
    <row r="10" customFormat="false" ht="15" hidden="false" customHeight="false" outlineLevel="0" collapsed="false">
      <c r="A10" s="6" t="s">
        <v>18</v>
      </c>
    </row>
    <row r="11" customFormat="false" ht="15" hidden="false" customHeight="false" outlineLevel="0" collapsed="false">
      <c r="A11" s="4" t="s">
        <v>19</v>
      </c>
      <c r="B11" s="7" t="n">
        <v>0.025</v>
      </c>
      <c r="C11" s="2" t="s">
        <v>20</v>
      </c>
      <c r="E11" s="2" t="s">
        <v>21</v>
      </c>
    </row>
    <row r="12" customFormat="false" ht="15" hidden="false" customHeight="false" outlineLevel="0" collapsed="false">
      <c r="A12" s="6" t="s">
        <v>22</v>
      </c>
    </row>
    <row r="13" customFormat="false" ht="15" hidden="false" customHeight="false" outlineLevel="0" collapsed="false">
      <c r="A13" s="4" t="s">
        <v>23</v>
      </c>
      <c r="B13" s="5" t="n">
        <v>50</v>
      </c>
      <c r="C13" s="2" t="s">
        <v>24</v>
      </c>
      <c r="E13" s="2" t="s">
        <v>25</v>
      </c>
    </row>
    <row r="14" customFormat="false" ht="15" hidden="false" customHeight="false" outlineLevel="0" collapsed="false">
      <c r="A14" s="4" t="s">
        <v>26</v>
      </c>
      <c r="B14" s="5" t="n">
        <v>4</v>
      </c>
      <c r="C14" s="2" t="s">
        <v>24</v>
      </c>
      <c r="E14" s="2" t="s">
        <v>27</v>
      </c>
    </row>
    <row r="15" customFormat="false" ht="15" hidden="false" customHeight="false" outlineLevel="0" collapsed="false">
      <c r="A15" s="4" t="s">
        <v>28</v>
      </c>
      <c r="B15" s="5" t="n">
        <v>10</v>
      </c>
      <c r="C15" s="2" t="s">
        <v>24</v>
      </c>
      <c r="E15" s="2" t="s">
        <v>29</v>
      </c>
    </row>
    <row r="16" customFormat="false" ht="15" hidden="false" customHeight="false" outlineLevel="0" collapsed="false">
      <c r="A16" s="4" t="s">
        <v>30</v>
      </c>
      <c r="B16" s="5" t="n">
        <v>15</v>
      </c>
      <c r="C16" s="2" t="s">
        <v>24</v>
      </c>
      <c r="E16" s="2" t="s">
        <v>31</v>
      </c>
    </row>
    <row r="17" customFormat="false" ht="15" hidden="false" customHeight="false" outlineLevel="0" collapsed="false">
      <c r="A17" s="4" t="s">
        <v>32</v>
      </c>
      <c r="B17" s="5" t="n">
        <v>0</v>
      </c>
      <c r="C17" s="2" t="s">
        <v>24</v>
      </c>
      <c r="E17" s="2" t="s">
        <v>33</v>
      </c>
    </row>
    <row r="19" customFormat="false" ht="15" hidden="false" customHeight="false" outlineLevel="0" collapsed="false">
      <c r="A19" s="6" t="s">
        <v>34</v>
      </c>
    </row>
    <row r="20" customFormat="false" ht="15" hidden="false" customHeight="false" outlineLevel="0" collapsed="false">
      <c r="A20" s="4" t="s">
        <v>35</v>
      </c>
      <c r="B20" s="9" t="n">
        <f aca="false">B5*B7</f>
        <v>0.0255</v>
      </c>
    </row>
    <row r="21" customFormat="false" ht="15" hidden="false" customHeight="false" outlineLevel="0" collapsed="false">
      <c r="A21" s="4" t="s">
        <v>36</v>
      </c>
      <c r="B21" s="9" t="n">
        <f aca="false">B5*B11</f>
        <v>0.1275</v>
      </c>
    </row>
    <row r="22" customFormat="false" ht="15" hidden="false" customHeight="false" outlineLevel="0" collapsed="false">
      <c r="A22" s="10" t="s">
        <v>37</v>
      </c>
      <c r="B22" s="11" t="n">
        <f aca="false">B13+B14+B15+B16+B17</f>
        <v>79</v>
      </c>
    </row>
    <row r="23" customFormat="false" ht="15" hidden="false" customHeight="false" outlineLevel="0" collapsed="false">
      <c r="A23" s="4" t="s">
        <v>38</v>
      </c>
      <c r="B23" s="9" t="n">
        <f aca="false">B8*B9*B20</f>
        <v>11.22</v>
      </c>
    </row>
    <row r="25" customFormat="false" ht="15" hidden="false" customHeight="false" outlineLevel="0" collapsed="false">
      <c r="A25" s="10" t="s">
        <v>39</v>
      </c>
    </row>
    <row r="26" customFormat="false" ht="15" hidden="false" customHeight="false" outlineLevel="0" collapsed="false">
      <c r="A26" s="2" t="s">
        <v>40</v>
      </c>
    </row>
    <row r="27" customFormat="false" ht="15" hidden="false" customHeight="false" outlineLevel="0" collapsed="false">
      <c r="A27" s="2" t="s">
        <v>41</v>
      </c>
    </row>
    <row r="28" customFormat="false" ht="15" hidden="false" customHeight="false" outlineLevel="0" collapsed="false">
      <c r="A28" s="2" t="s">
        <v>42</v>
      </c>
    </row>
    <row r="29" customFormat="false" ht="15" hidden="false" customHeight="false" outlineLevel="0" collapsed="false">
      <c r="A29" s="2" t="s">
        <v>43</v>
      </c>
    </row>
    <row r="30" customFormat="false" ht="15" hidden="false" customHeight="false" outlineLevel="0" collapsed="false">
      <c r="A30" s="2" t="s">
        <v>44</v>
      </c>
    </row>
    <row r="31" customFormat="false" ht="15" hidden="false" customHeight="false" outlineLevel="0" collapsed="false">
      <c r="A31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0"/>
  </cols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10" t="s">
        <v>47</v>
      </c>
      <c r="C2" s="12" t="n">
        <f aca="false">Premissas!$B$20</f>
        <v>0.0255</v>
      </c>
    </row>
    <row r="3" customFormat="false" ht="15" hidden="false" customHeight="false" outlineLevel="0" collapsed="false">
      <c r="A3" s="2" t="s">
        <v>48</v>
      </c>
    </row>
    <row r="5" customFormat="false" ht="15" hidden="false" customHeight="false" outlineLevel="0" collapsed="false">
      <c r="A5" s="13" t="s">
        <v>49</v>
      </c>
      <c r="B5" s="13" t="s">
        <v>50</v>
      </c>
      <c r="C5" s="13" t="s">
        <v>51</v>
      </c>
      <c r="D5" s="13" t="s">
        <v>52</v>
      </c>
    </row>
    <row r="6" customFormat="false" ht="15" hidden="false" customHeight="false" outlineLevel="0" collapsed="false">
      <c r="A6" s="14" t="s">
        <v>53</v>
      </c>
      <c r="B6" s="15" t="n">
        <v>15</v>
      </c>
      <c r="C6" s="16" t="n">
        <f aca="false">B6*C$2</f>
        <v>0.3825</v>
      </c>
      <c r="D6" s="16" t="n">
        <f aca="false">C6*12</f>
        <v>4.59</v>
      </c>
    </row>
    <row r="7" customFormat="false" ht="15" hidden="false" customHeight="false" outlineLevel="0" collapsed="false">
      <c r="A7" s="14" t="s">
        <v>54</v>
      </c>
      <c r="B7" s="15" t="n">
        <v>22</v>
      </c>
      <c r="C7" s="16" t="n">
        <f aca="false">B7*C$2</f>
        <v>0.561</v>
      </c>
      <c r="D7" s="16" t="n">
        <f aca="false">C7*12</f>
        <v>6.732</v>
      </c>
    </row>
    <row r="8" customFormat="false" ht="15" hidden="false" customHeight="false" outlineLevel="0" collapsed="false">
      <c r="A8" s="14" t="s">
        <v>55</v>
      </c>
      <c r="B8" s="15" t="n">
        <v>30</v>
      </c>
      <c r="C8" s="16" t="n">
        <f aca="false">B8*C$2</f>
        <v>0.765</v>
      </c>
      <c r="D8" s="16" t="n">
        <f aca="false">C8*12</f>
        <v>9.18</v>
      </c>
    </row>
    <row r="9" customFormat="false" ht="15" hidden="false" customHeight="false" outlineLevel="0" collapsed="false">
      <c r="A9" s="14" t="s">
        <v>56</v>
      </c>
      <c r="B9" s="15" t="n">
        <v>60</v>
      </c>
      <c r="C9" s="16" t="n">
        <f aca="false">B9*C$2</f>
        <v>1.53</v>
      </c>
      <c r="D9" s="16" t="n">
        <f aca="false">C9*12</f>
        <v>18.36</v>
      </c>
    </row>
    <row r="10" customFormat="false" ht="15" hidden="false" customHeight="false" outlineLevel="0" collapsed="false">
      <c r="A10" s="14" t="s">
        <v>57</v>
      </c>
      <c r="B10" s="15" t="n">
        <v>110</v>
      </c>
      <c r="C10" s="16" t="n">
        <f aca="false">B10*C$2</f>
        <v>2.805</v>
      </c>
      <c r="D10" s="16" t="n">
        <f aca="false">C10*12</f>
        <v>33.66</v>
      </c>
    </row>
    <row r="11" customFormat="false" ht="15" hidden="false" customHeight="false" outlineLevel="0" collapsed="false">
      <c r="A11" s="17" t="s">
        <v>58</v>
      </c>
      <c r="B11" s="18" t="n">
        <v>440</v>
      </c>
      <c r="C11" s="19" t="n">
        <f aca="false">B11*C$2</f>
        <v>11.22</v>
      </c>
      <c r="D11" s="19" t="n">
        <f aca="false">C11*12</f>
        <v>134.64</v>
      </c>
    </row>
    <row r="12" customFormat="false" ht="15" hidden="false" customHeight="false" outlineLevel="0" collapsed="false">
      <c r="A12" s="17" t="s">
        <v>59</v>
      </c>
      <c r="B12" s="18" t="n">
        <v>600</v>
      </c>
      <c r="C12" s="19" t="n">
        <f aca="false">B12*C$2</f>
        <v>15.3</v>
      </c>
      <c r="D12" s="19" t="n">
        <f aca="false">C12*12</f>
        <v>183.6</v>
      </c>
    </row>
    <row r="14" customFormat="false" ht="15" hidden="false" customHeight="false" outlineLevel="0" collapsed="false">
      <c r="A14" s="2" t="s">
        <v>60</v>
      </c>
    </row>
    <row r="15" customFormat="false" ht="15" hidden="false" customHeight="false" outlineLevel="0" collapsed="false">
      <c r="A15" s="2" t="s">
        <v>61</v>
      </c>
    </row>
    <row r="16" customFormat="false" ht="15" hidden="false" customHeight="false" outlineLevel="0" collapsed="false">
      <c r="A16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3" customFormat="false" ht="15" hidden="false" customHeight="false" outlineLevel="0" collapsed="false">
      <c r="A3" s="2" t="s">
        <v>65</v>
      </c>
    </row>
    <row r="5" customFormat="false" ht="15" hidden="false" customHeight="false" outlineLevel="0" collapsed="false">
      <c r="A5" s="10" t="s">
        <v>66</v>
      </c>
      <c r="D5" s="8" t="n">
        <v>30</v>
      </c>
    </row>
    <row r="6" customFormat="false" ht="15" hidden="false" customHeight="false" outlineLevel="0" collapsed="false">
      <c r="A6" s="10" t="s">
        <v>67</v>
      </c>
      <c r="D6" s="12" t="n">
        <f aca="false">Premissas!$B$20</f>
        <v>0.0255</v>
      </c>
    </row>
    <row r="8" customFormat="false" ht="15" hidden="false" customHeight="false" outlineLevel="0" collapsed="false">
      <c r="A8" s="13" t="s">
        <v>68</v>
      </c>
      <c r="B8" s="13" t="s">
        <v>69</v>
      </c>
      <c r="C8" s="13" t="s">
        <v>70</v>
      </c>
      <c r="D8" s="13" t="s">
        <v>71</v>
      </c>
    </row>
    <row r="9" customFormat="false" ht="15" hidden="false" customHeight="false" outlineLevel="0" collapsed="false">
      <c r="A9" s="14" t="s">
        <v>72</v>
      </c>
      <c r="B9" s="15" t="n">
        <v>20</v>
      </c>
      <c r="C9" s="16" t="n">
        <f aca="false">B9*$D$5*$D$6</f>
        <v>15.3</v>
      </c>
      <c r="D9" s="16" t="n">
        <f aca="false">C9*12</f>
        <v>183.6</v>
      </c>
    </row>
    <row r="10" customFormat="false" ht="15" hidden="false" customHeight="false" outlineLevel="0" collapsed="false">
      <c r="A10" s="14" t="s">
        <v>73</v>
      </c>
      <c r="B10" s="15" t="n">
        <v>25</v>
      </c>
      <c r="C10" s="16" t="n">
        <f aca="false">B10*$D$5*$D$6</f>
        <v>19.125</v>
      </c>
      <c r="D10" s="16" t="n">
        <f aca="false">C10*12</f>
        <v>229.5</v>
      </c>
    </row>
    <row r="11" customFormat="false" ht="15" hidden="false" customHeight="false" outlineLevel="0" collapsed="false">
      <c r="A11" s="14" t="s">
        <v>74</v>
      </c>
      <c r="B11" s="15" t="n">
        <v>30</v>
      </c>
      <c r="C11" s="16" t="n">
        <f aca="false">B11*$D$5*$D$6</f>
        <v>22.95</v>
      </c>
      <c r="D11" s="16" t="n">
        <f aca="false">C11*12</f>
        <v>275.4</v>
      </c>
    </row>
    <row r="12" customFormat="false" ht="15" hidden="false" customHeight="false" outlineLevel="0" collapsed="false">
      <c r="A12" s="14" t="s">
        <v>75</v>
      </c>
      <c r="B12" s="15" t="n">
        <v>35</v>
      </c>
      <c r="C12" s="16" t="n">
        <f aca="false">B12*$D$5*$D$6</f>
        <v>26.775</v>
      </c>
      <c r="D12" s="16" t="n">
        <f aca="false">C12*12</f>
        <v>321.3</v>
      </c>
    </row>
    <row r="14" customFormat="false" ht="15" hidden="false" customHeight="false" outlineLevel="0" collapsed="false">
      <c r="A14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6.1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10" t="s">
        <v>79</v>
      </c>
      <c r="E4" s="8" t="n">
        <v>30</v>
      </c>
    </row>
    <row r="5" customFormat="false" ht="15" hidden="false" customHeight="false" outlineLevel="0" collapsed="false">
      <c r="A5" s="10" t="s">
        <v>67</v>
      </c>
      <c r="E5" s="12" t="n">
        <f aca="false">Premissas!$B$20</f>
        <v>0.0255</v>
      </c>
    </row>
    <row r="7" customFormat="false" ht="23.85" hidden="false" customHeight="false" outlineLevel="0" collapsed="false">
      <c r="A7" s="13" t="s">
        <v>80</v>
      </c>
      <c r="B7" s="13" t="s">
        <v>69</v>
      </c>
      <c r="C7" s="13" t="s">
        <v>51</v>
      </c>
      <c r="D7" s="13" t="s">
        <v>52</v>
      </c>
      <c r="E7" s="13" t="s">
        <v>81</v>
      </c>
    </row>
    <row r="8" customFormat="false" ht="15" hidden="false" customHeight="false" outlineLevel="0" collapsed="false">
      <c r="A8" s="14" t="s">
        <v>82</v>
      </c>
      <c r="B8" s="15" t="n">
        <v>30</v>
      </c>
      <c r="C8" s="16" t="n">
        <f aca="false">B8*$E$4*$E$5</f>
        <v>22.95</v>
      </c>
      <c r="D8" s="16" t="n">
        <f aca="false">C8*12</f>
        <v>275.4</v>
      </c>
      <c r="E8" s="16" t="n">
        <f aca="false">40*Premissas!$B$21</f>
        <v>5.1</v>
      </c>
    </row>
    <row r="9" customFormat="false" ht="15" hidden="false" customHeight="false" outlineLevel="0" collapsed="false">
      <c r="A9" s="14" t="s">
        <v>83</v>
      </c>
      <c r="B9" s="15" t="n">
        <v>90</v>
      </c>
      <c r="C9" s="16" t="n">
        <f aca="false">B9*$E$4*$E$5</f>
        <v>68.85</v>
      </c>
      <c r="D9" s="16" t="n">
        <f aca="false">C9*12</f>
        <v>826.2</v>
      </c>
      <c r="E9" s="16" t="n">
        <f aca="false">40*Premissas!$B$21</f>
        <v>5.1</v>
      </c>
    </row>
    <row r="10" customFormat="false" ht="15" hidden="false" customHeight="false" outlineLevel="0" collapsed="false">
      <c r="A10" s="14" t="s">
        <v>84</v>
      </c>
      <c r="B10" s="15" t="n">
        <v>150</v>
      </c>
      <c r="C10" s="16" t="n">
        <f aca="false">B10*$E$4*$E$5</f>
        <v>114.75</v>
      </c>
      <c r="D10" s="16" t="n">
        <f aca="false">C10*12</f>
        <v>1377</v>
      </c>
      <c r="E10" s="16" t="n">
        <f aca="false">40*Premissas!$B$21</f>
        <v>5.1</v>
      </c>
    </row>
    <row r="11" customFormat="false" ht="15" hidden="false" customHeight="false" outlineLevel="0" collapsed="false">
      <c r="A11" s="14" t="s">
        <v>85</v>
      </c>
      <c r="B11" s="15" t="n">
        <v>500</v>
      </c>
      <c r="C11" s="16" t="n">
        <f aca="false">B11*$E$4*$E$5</f>
        <v>382.5</v>
      </c>
      <c r="D11" s="16" t="n">
        <f aca="false">C11*12</f>
        <v>4590</v>
      </c>
      <c r="E11" s="16" t="n">
        <f aca="false">40*Premissas!$B$21</f>
        <v>5.1</v>
      </c>
    </row>
    <row r="13" customFormat="false" ht="15" hidden="false" customHeight="false" outlineLevel="0" collapsed="false">
      <c r="A13" s="2" t="s">
        <v>86</v>
      </c>
    </row>
    <row r="14" customFormat="false" ht="15" hidden="false" customHeight="false" outlineLevel="0" collapsed="false">
      <c r="A14" s="2" t="s">
        <v>87</v>
      </c>
    </row>
    <row r="15" customFormat="false" ht="15" hidden="false" customHeight="false" outlineLevel="0" collapsed="false">
      <c r="A15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8"/>
  </cols>
  <sheetData>
    <row r="1" customFormat="false" ht="16.1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0" t="s">
        <v>91</v>
      </c>
      <c r="C4" s="20" t="n">
        <v>90</v>
      </c>
    </row>
    <row r="5" customFormat="false" ht="15" hidden="false" customHeight="false" outlineLevel="0" collapsed="false">
      <c r="A5" s="10" t="s">
        <v>92</v>
      </c>
      <c r="C5" s="20" t="n">
        <v>30</v>
      </c>
    </row>
    <row r="6" customFormat="false" ht="15" hidden="false" customHeight="false" outlineLevel="0" collapsed="false">
      <c r="A6" s="10" t="s">
        <v>93</v>
      </c>
      <c r="C6" s="12" t="n">
        <f aca="false">Premissas!$B$20</f>
        <v>0.0255</v>
      </c>
    </row>
    <row r="7" customFormat="false" ht="15" hidden="false" customHeight="false" outlineLevel="0" collapsed="false">
      <c r="A7" s="10" t="s">
        <v>94</v>
      </c>
      <c r="C7" s="12" t="n">
        <f aca="false">Premissas!$B$22</f>
        <v>79</v>
      </c>
    </row>
    <row r="9" customFormat="false" ht="15" hidden="false" customHeight="false" outlineLevel="0" collapsed="false">
      <c r="A9" s="13" t="s">
        <v>95</v>
      </c>
      <c r="B9" s="13" t="s">
        <v>96</v>
      </c>
      <c r="C9" s="13" t="s">
        <v>51</v>
      </c>
      <c r="D9" s="13" t="s">
        <v>97</v>
      </c>
      <c r="E9" s="13" t="s">
        <v>98</v>
      </c>
      <c r="F9" s="13" t="s">
        <v>99</v>
      </c>
    </row>
    <row r="10" customFormat="false" ht="15" hidden="false" customHeight="false" outlineLevel="0" collapsed="false">
      <c r="A10" s="15" t="n">
        <v>1</v>
      </c>
      <c r="B10" s="21" t="n">
        <f aca="false">A10*$C$4</f>
        <v>90</v>
      </c>
      <c r="C10" s="22" t="n">
        <f aca="false">B10*$C$5*$C$6</f>
        <v>68.85</v>
      </c>
      <c r="D10" s="22" t="n">
        <f aca="false">$C$7</f>
        <v>79</v>
      </c>
      <c r="E10" s="22" t="n">
        <f aca="false">C10+D10</f>
        <v>147.85</v>
      </c>
      <c r="F10" s="23" t="n">
        <f aca="false">E10/B10</f>
        <v>1.64277777777778</v>
      </c>
    </row>
    <row r="11" customFormat="false" ht="15" hidden="false" customHeight="false" outlineLevel="0" collapsed="false">
      <c r="A11" s="15" t="n">
        <v>3</v>
      </c>
      <c r="B11" s="24" t="n">
        <f aca="false">A11*$C$4</f>
        <v>270</v>
      </c>
      <c r="C11" s="25" t="n">
        <f aca="false">B11*$C$5*$C$6</f>
        <v>206.55</v>
      </c>
      <c r="D11" s="25" t="n">
        <f aca="false">$C$7</f>
        <v>79</v>
      </c>
      <c r="E11" s="25" t="n">
        <f aca="false">C11+D11</f>
        <v>285.55</v>
      </c>
      <c r="F11" s="16" t="n">
        <f aca="false">E11/B11</f>
        <v>1.05759259259259</v>
      </c>
    </row>
    <row r="12" customFormat="false" ht="15" hidden="false" customHeight="false" outlineLevel="0" collapsed="false">
      <c r="A12" s="15" t="n">
        <v>5</v>
      </c>
      <c r="B12" s="21" t="n">
        <f aca="false">A12*$C$4</f>
        <v>450</v>
      </c>
      <c r="C12" s="22" t="n">
        <f aca="false">B12*$C$5*$C$6</f>
        <v>344.25</v>
      </c>
      <c r="D12" s="22" t="n">
        <f aca="false">$C$7</f>
        <v>79</v>
      </c>
      <c r="E12" s="22" t="n">
        <f aca="false">C12+D12</f>
        <v>423.25</v>
      </c>
      <c r="F12" s="23" t="n">
        <f aca="false">E12/B12</f>
        <v>0.940555555555556</v>
      </c>
    </row>
    <row r="13" customFormat="false" ht="15" hidden="false" customHeight="false" outlineLevel="0" collapsed="false">
      <c r="A13" s="15" t="n">
        <v>10</v>
      </c>
      <c r="B13" s="24" t="n">
        <f aca="false">A13*$C$4</f>
        <v>900</v>
      </c>
      <c r="C13" s="25" t="n">
        <f aca="false">B13*$C$5*$C$6</f>
        <v>688.5</v>
      </c>
      <c r="D13" s="25" t="n">
        <f aca="false">$C$7</f>
        <v>79</v>
      </c>
      <c r="E13" s="25" t="n">
        <f aca="false">C13+D13</f>
        <v>767.5</v>
      </c>
      <c r="F13" s="16" t="n">
        <f aca="false">E13/B13</f>
        <v>0.852777777777778</v>
      </c>
    </row>
    <row r="14" customFormat="false" ht="15" hidden="false" customHeight="false" outlineLevel="0" collapsed="false">
      <c r="A14" s="15" t="n">
        <v>20</v>
      </c>
      <c r="B14" s="21" t="n">
        <f aca="false">A14*$C$4</f>
        <v>1800</v>
      </c>
      <c r="C14" s="22" t="n">
        <f aca="false">B14*$C$5*$C$6</f>
        <v>1377</v>
      </c>
      <c r="D14" s="22" t="n">
        <f aca="false">$C$7</f>
        <v>79</v>
      </c>
      <c r="E14" s="22" t="n">
        <f aca="false">C14+D14</f>
        <v>1456</v>
      </c>
      <c r="F14" s="23" t="n">
        <f aca="false">E14/B14</f>
        <v>0.808888888888889</v>
      </c>
    </row>
    <row r="15" customFormat="false" ht="15" hidden="false" customHeight="false" outlineLevel="0" collapsed="false">
      <c r="A15" s="15" t="n">
        <v>50</v>
      </c>
      <c r="B15" s="24" t="n">
        <f aca="false">A15*$C$4</f>
        <v>4500</v>
      </c>
      <c r="C15" s="25" t="n">
        <f aca="false">B15*$C$5*$C$6</f>
        <v>3442.5</v>
      </c>
      <c r="D15" s="25" t="n">
        <f aca="false">$C$7</f>
        <v>79</v>
      </c>
      <c r="E15" s="25" t="n">
        <f aca="false">C15+D15</f>
        <v>3521.5</v>
      </c>
      <c r="F15" s="16" t="n">
        <f aca="false">E15/B15</f>
        <v>0.782555555555556</v>
      </c>
    </row>
    <row r="16" customFormat="false" ht="15" hidden="false" customHeight="false" outlineLevel="0" collapsed="false">
      <c r="A16" s="15" t="n">
        <v>100</v>
      </c>
      <c r="B16" s="21" t="n">
        <f aca="false">A16*$C$4</f>
        <v>9000</v>
      </c>
      <c r="C16" s="22" t="n">
        <f aca="false">B16*$C$5*$C$6</f>
        <v>6885</v>
      </c>
      <c r="D16" s="22" t="n">
        <f aca="false">$C$7</f>
        <v>79</v>
      </c>
      <c r="E16" s="22" t="n">
        <f aca="false">C16+D16</f>
        <v>6964</v>
      </c>
      <c r="F16" s="23" t="n">
        <f aca="false">E16/B16</f>
        <v>0.773777777777778</v>
      </c>
    </row>
    <row r="18" customFormat="false" ht="15" hidden="false" customHeight="false" outlineLevel="0" collapsed="false">
      <c r="A18" s="2" t="s">
        <v>100</v>
      </c>
    </row>
    <row r="19" customFormat="false" ht="15" hidden="false" customHeight="false" outlineLevel="0" collapsed="false">
      <c r="A19" s="2" t="s">
        <v>101</v>
      </c>
    </row>
    <row r="20" customFormat="false" ht="15" hidden="false" customHeight="false" outlineLevel="0" collapsed="false">
      <c r="A20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2026-07-21T17:31:58Z</dcterms:created>
  <dc:creator>openpyxl</dc:creator>
  <dc:description/>
  <dc:language>en-US</dc:language>
  <cp:lastModifiedBy/>
  <dcterms:modified xsi:type="dcterms:W3CDTF">2026-07-21T17:32:56Z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